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0" documentId="8_{0165F550-57A8-48DA-8869-EA3F313D704A}" xr6:coauthVersionLast="47" xr6:coauthVersionMax="47" xr10:uidLastSave="{00000000-0000-0000-0000-000000000000}"/>
  <bookViews>
    <workbookView xWindow="240" yWindow="105" windowWidth="14805" windowHeight="8010" firstSheet="4" activeTab="5" xr2:uid="{00000000-000D-0000-FFFF-FFFF00000000}"/>
  </bookViews>
  <sheets>
    <sheet name="SUMIF" sheetId="1" r:id="rId1"/>
    <sheet name="wildcard" sheetId="2" r:id="rId2"/>
    <sheet name="SUMIFS" sheetId="3" r:id="rId3"/>
    <sheet name="AND" sheetId="4" r:id="rId4"/>
    <sheet name="OR" sheetId="5" r:id="rId5"/>
    <sheet name="NO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6" l="1"/>
  <c r="D2" i="6"/>
  <c r="E3" i="6"/>
  <c r="E4" i="6"/>
  <c r="E5" i="6"/>
  <c r="E6" i="6"/>
  <c r="D3" i="6"/>
  <c r="D4" i="6"/>
  <c r="D5" i="6"/>
  <c r="D6" i="6"/>
  <c r="D12" i="5"/>
  <c r="D13" i="5"/>
  <c r="D14" i="5"/>
  <c r="D15" i="5"/>
  <c r="D16" i="5"/>
  <c r="E2" i="5"/>
  <c r="E3" i="5"/>
  <c r="E4" i="5"/>
  <c r="E5" i="5"/>
  <c r="E6" i="5"/>
  <c r="E3" i="4"/>
  <c r="E23" i="3"/>
  <c r="E14" i="3"/>
  <c r="E4" i="3"/>
  <c r="E2" i="3"/>
  <c r="E6" i="2"/>
  <c r="E4" i="2"/>
  <c r="E2" i="2"/>
  <c r="F5" i="1"/>
  <c r="F3" i="1"/>
  <c r="D16" i="1"/>
  <c r="D15" i="1"/>
  <c r="D14" i="1"/>
  <c r="D13" i="1"/>
  <c r="B15" i="1"/>
  <c r="B14" i="1"/>
  <c r="B13" i="1"/>
</calcChain>
</file>

<file path=xl/sharedStrings.xml><?xml version="1.0" encoding="utf-8"?>
<sst xmlns="http://schemas.openxmlformats.org/spreadsheetml/2006/main" count="123" uniqueCount="27">
  <si>
    <t>Employee</t>
  </si>
  <si>
    <t>Department</t>
  </si>
  <si>
    <t>Salary</t>
  </si>
  <si>
    <t>Aarav</t>
  </si>
  <si>
    <t>Sales</t>
  </si>
  <si>
    <t>HR</t>
  </si>
  <si>
    <t>Priya</t>
  </si>
  <si>
    <t>Karan</t>
  </si>
  <si>
    <t>IT</t>
  </si>
  <si>
    <t>Neha</t>
  </si>
  <si>
    <t>Rahul</t>
  </si>
  <si>
    <t>Aman</t>
  </si>
  <si>
    <t>Simran</t>
  </si>
  <si>
    <t>Riya</t>
  </si>
  <si>
    <t>Sales East</t>
  </si>
  <si>
    <t>Sales West</t>
  </si>
  <si>
    <t>Sales Online</t>
  </si>
  <si>
    <t>Finance</t>
  </si>
  <si>
    <t>Sales North</t>
  </si>
  <si>
    <t>Region</t>
  </si>
  <si>
    <t>Product</t>
  </si>
  <si>
    <t>North</t>
  </si>
  <si>
    <t>Laptop</t>
  </si>
  <si>
    <t>South</t>
  </si>
  <si>
    <t>Mobile</t>
  </si>
  <si>
    <t>West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</si>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</sst>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F5" sqref="F5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3</v>
      </c>
      <c r="B2" t="s">
        <v>4</v>
      </c>
      <c r="C2">
        <v>45000</v>
      </c>
      <c r="E2" t="s">
        <v>5</v>
      </c>
    </row>
    <row r="3" spans="1:6">
      <c r="A3" t="s">
        <v>6</v>
      </c>
      <c r="B3" t="s">
        <v>5</v>
      </c>
      <c r="C3">
        <v>52000</v>
      </c>
      <c r="F3">
        <f>SUMIF(B2:B9,E2,C2:C9)</f>
        <v>100000</v>
      </c>
    </row>
    <row r="4" spans="1:6">
      <c r="A4" t="s">
        <v>7</v>
      </c>
      <c r="B4" t="s">
        <v>8</v>
      </c>
      <c r="C4">
        <v>65000</v>
      </c>
    </row>
    <row r="5" spans="1:6">
      <c r="A5" t="s">
        <v>9</v>
      </c>
      <c r="B5" t="s">
        <v>4</v>
      </c>
      <c r="C5">
        <v>55000</v>
      </c>
      <c r="E5">
        <v>50000</v>
      </c>
      <c r="F5">
        <f>SUMIF(C2:C9,"&gt;"&amp;E5)</f>
        <v>302000</v>
      </c>
    </row>
    <row r="6" spans="1:6">
      <c r="A6" t="s">
        <v>10</v>
      </c>
      <c r="B6" t="s">
        <v>5</v>
      </c>
      <c r="C6">
        <v>48000</v>
      </c>
    </row>
    <row r="7" spans="1:6">
      <c r="A7" t="s">
        <v>11</v>
      </c>
      <c r="B7" t="s">
        <v>4</v>
      </c>
      <c r="C7">
        <v>70000</v>
      </c>
    </row>
    <row r="8" spans="1:6">
      <c r="A8" t="s">
        <v>12</v>
      </c>
      <c r="B8" t="s">
        <v>8</v>
      </c>
      <c r="C8">
        <v>60000</v>
      </c>
    </row>
    <row r="9" spans="1:6">
      <c r="A9" t="s">
        <v>13</v>
      </c>
      <c r="B9" t="s">
        <v>4</v>
      </c>
      <c r="C9">
        <v>50000</v>
      </c>
    </row>
    <row r="13" spans="1:6">
      <c r="B13">
        <f>SUMIF(B2:B9,"Sales",C2:C9)</f>
        <v>220000</v>
      </c>
      <c r="D13">
        <f>SUMIF(C2:C9,"&gt;50000")</f>
        <v>302000</v>
      </c>
    </row>
    <row r="14" spans="1:6">
      <c r="B14">
        <f>SUMIF(B2:B9,"HR",C2:C9)</f>
        <v>100000</v>
      </c>
      <c r="D14">
        <f>SUMIF(C2:C9,"&lt;50000")</f>
        <v>93000</v>
      </c>
    </row>
    <row r="15" spans="1:6">
      <c r="B15">
        <f>SUMIF(B2:B9,"IT",C2:C9)</f>
        <v>125000</v>
      </c>
      <c r="D15">
        <f>SUMIF(C2:C9,"&gt;=50000")</f>
        <v>352000</v>
      </c>
    </row>
    <row r="16" spans="1:6">
      <c r="D16">
        <f>SUMIF(C2:C9,"&lt;&gt;50000")</f>
        <v>395000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372D-C891-4134-8596-92D52CEA09E5}">
  <dimension ref="A1:E8"/>
  <sheetViews>
    <sheetView workbookViewId="0">
      <selection activeCell="E6" sqref="E6"/>
    </sheetView>
  </sheetViews>
  <sheetFormatPr defaultRowHeight="15"/>
  <cols>
    <col min="1" max="1" width="11.85546875" bestFit="1" customWidth="1"/>
  </cols>
  <sheetData>
    <row r="1" spans="1:5">
      <c r="A1" s="1" t="s">
        <v>1</v>
      </c>
      <c r="B1" s="1" t="s">
        <v>2</v>
      </c>
    </row>
    <row r="2" spans="1:5">
      <c r="A2" t="s">
        <v>4</v>
      </c>
      <c r="B2">
        <v>45000</v>
      </c>
      <c r="E2">
        <f>SUMIF(A2:A8,"Sales*",B2:B8)</f>
        <v>282000</v>
      </c>
    </row>
    <row r="3" spans="1:5">
      <c r="A3" t="s">
        <v>14</v>
      </c>
      <c r="B3">
        <v>52000</v>
      </c>
    </row>
    <row r="4" spans="1:5">
      <c r="A4" t="s">
        <v>15</v>
      </c>
      <c r="B4">
        <v>60000</v>
      </c>
      <c r="E4">
        <f>SUMIF(A2:A8,"*East*",B2:B8)</f>
        <v>52000</v>
      </c>
    </row>
    <row r="5" spans="1:5">
      <c r="A5" t="s">
        <v>16</v>
      </c>
      <c r="B5">
        <v>70000</v>
      </c>
    </row>
    <row r="6" spans="1:5">
      <c r="A6" t="s">
        <v>5</v>
      </c>
      <c r="B6">
        <v>50000</v>
      </c>
      <c r="E6">
        <f>SUMIF(A2:A8,"*Online",B2:B8)</f>
        <v>70000</v>
      </c>
    </row>
    <row r="7" spans="1:5">
      <c r="A7" t="s">
        <v>17</v>
      </c>
      <c r="B7">
        <v>65000</v>
      </c>
    </row>
    <row r="8" spans="1:5">
      <c r="A8" t="s">
        <v>18</v>
      </c>
      <c r="B8">
        <v>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4B99-94D1-4990-9B65-04D1DDFCE019}">
  <dimension ref="A1:E29"/>
  <sheetViews>
    <sheetView topLeftCell="A16" workbookViewId="0">
      <selection activeCell="E23" sqref="E23"/>
    </sheetView>
  </sheetViews>
  <sheetFormatPr defaultRowHeight="15"/>
  <cols>
    <col min="1" max="1" width="9.85546875" bestFit="1" customWidth="1"/>
    <col min="2" max="2" width="8.85546875" customWidth="1"/>
    <col min="3" max="3" width="6.710937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>
        <v>45000</v>
      </c>
      <c r="E2">
        <f>SUMIFS(C2:C9,B2:B9,"Sales")</f>
        <v>220000</v>
      </c>
    </row>
    <row r="3" spans="1:5">
      <c r="A3" t="s">
        <v>6</v>
      </c>
      <c r="B3" t="s">
        <v>5</v>
      </c>
      <c r="C3">
        <v>52000</v>
      </c>
    </row>
    <row r="4" spans="1:5">
      <c r="A4" t="s">
        <v>7</v>
      </c>
      <c r="B4" t="s">
        <v>8</v>
      </c>
      <c r="C4">
        <v>65000</v>
      </c>
      <c r="E4">
        <f>SUMIFS(C2:C9,B2:B9,"Sales",C2:C9,"&gt;50000")</f>
        <v>125000</v>
      </c>
    </row>
    <row r="5" spans="1:5">
      <c r="A5" t="s">
        <v>9</v>
      </c>
      <c r="B5" t="s">
        <v>4</v>
      </c>
      <c r="C5">
        <v>55000</v>
      </c>
    </row>
    <row r="6" spans="1:5">
      <c r="A6" t="s">
        <v>10</v>
      </c>
      <c r="B6" t="s">
        <v>5</v>
      </c>
      <c r="C6">
        <v>48000</v>
      </c>
    </row>
    <row r="7" spans="1:5">
      <c r="A7" t="s">
        <v>11</v>
      </c>
      <c r="B7" t="s">
        <v>4</v>
      </c>
      <c r="C7">
        <v>70000</v>
      </c>
    </row>
    <row r="8" spans="1:5">
      <c r="A8" t="s">
        <v>12</v>
      </c>
      <c r="B8" t="s">
        <v>8</v>
      </c>
      <c r="C8">
        <v>60000</v>
      </c>
    </row>
    <row r="9" spans="1:5">
      <c r="A9" t="s">
        <v>13</v>
      </c>
      <c r="B9" t="s">
        <v>4</v>
      </c>
      <c r="C9">
        <v>50000</v>
      </c>
    </row>
    <row r="13" spans="1:5">
      <c r="A13" s="1" t="s">
        <v>19</v>
      </c>
      <c r="B13" s="1" t="s">
        <v>20</v>
      </c>
      <c r="C13" s="1" t="s">
        <v>4</v>
      </c>
    </row>
    <row r="14" spans="1:5">
      <c r="A14" t="s">
        <v>21</v>
      </c>
      <c r="B14" t="s">
        <v>22</v>
      </c>
      <c r="C14">
        <v>45000</v>
      </c>
      <c r="E14">
        <f>SUMIFS(C14:C18,B14:B18,"Laptop",A14:A18,"North")</f>
        <v>115000</v>
      </c>
    </row>
    <row r="15" spans="1:5">
      <c r="A15" t="s">
        <v>23</v>
      </c>
      <c r="B15" t="s">
        <v>22</v>
      </c>
      <c r="C15">
        <v>60000</v>
      </c>
    </row>
    <row r="16" spans="1:5">
      <c r="A16" t="s">
        <v>21</v>
      </c>
      <c r="B16" t="s">
        <v>24</v>
      </c>
      <c r="C16">
        <v>25000</v>
      </c>
    </row>
    <row r="17" spans="1:5">
      <c r="A17" t="s">
        <v>21</v>
      </c>
      <c r="B17" t="s">
        <v>22</v>
      </c>
      <c r="C17">
        <v>70000</v>
      </c>
    </row>
    <row r="18" spans="1:5">
      <c r="A18" t="s">
        <v>25</v>
      </c>
      <c r="B18" t="s">
        <v>22</v>
      </c>
      <c r="C18">
        <v>50000</v>
      </c>
    </row>
    <row r="22" spans="1:5">
      <c r="A22" s="1" t="s">
        <v>19</v>
      </c>
      <c r="B22" s="1" t="s">
        <v>20</v>
      </c>
      <c r="C22" s="1" t="s">
        <v>4</v>
      </c>
    </row>
    <row r="23" spans="1:5">
      <c r="A23" t="s">
        <v>21</v>
      </c>
      <c r="B23" t="s">
        <v>22</v>
      </c>
      <c r="C23">
        <v>45000</v>
      </c>
      <c r="E23">
        <f>SUMIFS(C23:C29,A23:A29,"North",B23:B29,"Laptop",C23:C29,"&gt;=40000")</f>
        <v>195000</v>
      </c>
    </row>
    <row r="24" spans="1:5">
      <c r="A24" t="s">
        <v>23</v>
      </c>
      <c r="B24" t="s">
        <v>22</v>
      </c>
      <c r="C24">
        <v>60000</v>
      </c>
    </row>
    <row r="25" spans="1:5">
      <c r="A25" t="s">
        <v>21</v>
      </c>
      <c r="B25" t="s">
        <v>24</v>
      </c>
      <c r="C25">
        <v>25000</v>
      </c>
    </row>
    <row r="26" spans="1:5">
      <c r="A26" t="s">
        <v>21</v>
      </c>
      <c r="B26" t="s">
        <v>22</v>
      </c>
      <c r="C26">
        <v>70000</v>
      </c>
    </row>
    <row r="27" spans="1:5">
      <c r="A27" t="s">
        <v>25</v>
      </c>
      <c r="B27" t="s">
        <v>22</v>
      </c>
      <c r="C27">
        <v>50000</v>
      </c>
    </row>
    <row r="28" spans="1:5">
      <c r="A28" t="s">
        <v>21</v>
      </c>
      <c r="B28" t="s">
        <v>22</v>
      </c>
      <c r="C28">
        <v>80000</v>
      </c>
    </row>
    <row r="29" spans="1:5">
      <c r="A29" t="s">
        <v>21</v>
      </c>
      <c r="B29" t="s">
        <v>22</v>
      </c>
      <c r="C29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5D1C-464E-4CC9-AD26-D02BDB0CB706}">
  <dimension ref="A1:E6"/>
  <sheetViews>
    <sheetView workbookViewId="0">
      <selection activeCell="E3" sqref="E3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>
        <v>45000</v>
      </c>
    </row>
    <row r="3" spans="1:5">
      <c r="A3" t="s">
        <v>6</v>
      </c>
      <c r="B3" t="s">
        <v>5</v>
      </c>
      <c r="C3">
        <v>52000</v>
      </c>
      <c r="E3" t="b">
        <f>AND(B2="Sales",C2&gt;50000)</f>
        <v>0</v>
      </c>
    </row>
    <row r="4" spans="1:5">
      <c r="A4" t="s">
        <v>11</v>
      </c>
      <c r="B4" t="s">
        <v>4</v>
      </c>
      <c r="C4">
        <v>70000</v>
      </c>
    </row>
    <row r="5" spans="1:5">
      <c r="A5" t="s">
        <v>9</v>
      </c>
      <c r="B5" t="s">
        <v>4</v>
      </c>
      <c r="C5">
        <v>55000</v>
      </c>
    </row>
    <row r="6" spans="1:5">
      <c r="A6" t="s">
        <v>10</v>
      </c>
      <c r="B6" t="s">
        <v>8</v>
      </c>
      <c r="C6"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92A6-9D82-403B-ACCD-6C7F06659F5C}">
  <dimension ref="A1:E16"/>
  <sheetViews>
    <sheetView workbookViewId="0">
      <selection activeCell="D12" sqref="D12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>
        <v>45000</v>
      </c>
      <c r="E2" t="str">
        <f>IF(OR(B2="Sales",C2&gt;50000),"True","False")</f>
        <v>True</v>
      </c>
    </row>
    <row r="3" spans="1:5">
      <c r="A3" t="s">
        <v>6</v>
      </c>
      <c r="B3" t="s">
        <v>5</v>
      </c>
      <c r="C3">
        <v>60000</v>
      </c>
      <c r="E3" t="str">
        <f t="shared" ref="E3:E6" si="0">IF(OR(B3="Sales",C3&gt;50000),"True","False")</f>
        <v>True</v>
      </c>
    </row>
    <row r="4" spans="1:5">
      <c r="A4" t="s">
        <v>11</v>
      </c>
      <c r="B4" t="s">
        <v>4</v>
      </c>
      <c r="C4">
        <v>70000</v>
      </c>
      <c r="E4" t="str">
        <f t="shared" si="0"/>
        <v>True</v>
      </c>
    </row>
    <row r="5" spans="1:5">
      <c r="A5" t="s">
        <v>9</v>
      </c>
      <c r="B5" t="s">
        <v>5</v>
      </c>
      <c r="C5">
        <v>35000</v>
      </c>
      <c r="E5" t="str">
        <f t="shared" si="0"/>
        <v>False</v>
      </c>
    </row>
    <row r="6" spans="1:5">
      <c r="A6" t="s">
        <v>10</v>
      </c>
      <c r="B6" t="s">
        <v>8</v>
      </c>
      <c r="C6">
        <v>65000</v>
      </c>
      <c r="E6" t="str">
        <f t="shared" si="0"/>
        <v>True</v>
      </c>
    </row>
    <row r="11" spans="1:5">
      <c r="A11" s="1" t="s">
        <v>1</v>
      </c>
      <c r="B11" s="1" t="s">
        <v>26</v>
      </c>
    </row>
    <row r="12" spans="1:5">
      <c r="A12" t="s">
        <v>8</v>
      </c>
      <c r="B12">
        <v>2</v>
      </c>
      <c r="D12" t="str">
        <f>IF(OR(A12="IT",B12&gt;=5),"Yes","No WFH")</f>
        <v>Yes</v>
      </c>
    </row>
    <row r="13" spans="1:5">
      <c r="A13" t="s">
        <v>5</v>
      </c>
      <c r="B13">
        <v>6</v>
      </c>
      <c r="D13" t="str">
        <f t="shared" ref="D13:D16" si="1">IF(OR(A13="IT",B13&gt;=5),"Yes","No WFH")</f>
        <v>Yes</v>
      </c>
    </row>
    <row r="14" spans="1:5">
      <c r="A14" t="s">
        <v>4</v>
      </c>
      <c r="B14">
        <v>4</v>
      </c>
      <c r="D14" t="str">
        <f t="shared" si="1"/>
        <v>No WFH</v>
      </c>
    </row>
    <row r="15" spans="1:5">
      <c r="A15" t="s">
        <v>8</v>
      </c>
      <c r="B15">
        <v>7</v>
      </c>
      <c r="D15" t="str">
        <f t="shared" si="1"/>
        <v>Yes</v>
      </c>
    </row>
    <row r="16" spans="1:5">
      <c r="A16" t="s">
        <v>5</v>
      </c>
      <c r="B16">
        <v>3</v>
      </c>
      <c r="D16" t="str">
        <f t="shared" si="1"/>
        <v>No WFH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629E-4719-4094-BD11-094348CC15F3}">
  <dimension ref="A1:E6"/>
  <sheetViews>
    <sheetView tabSelected="1" workbookViewId="0">
      <selection activeCell="E2" sqref="E2"/>
    </sheetView>
  </sheetViews>
  <sheetFormatPr defaultRowHeight="15"/>
  <cols>
    <col min="2" max="2" width="11.85546875" bestFit="1" customWidth="1"/>
    <col min="5" max="5" width="13" bestFit="1" customWidth="1"/>
  </cols>
  <sheetData>
    <row r="1" spans="1:5">
      <c r="A1" s="1" t="s">
        <v>0</v>
      </c>
      <c r="B1" s="1" t="s">
        <v>1</v>
      </c>
    </row>
    <row r="2" spans="1:5">
      <c r="A2" t="s">
        <v>3</v>
      </c>
      <c r="B2" t="s">
        <v>4</v>
      </c>
      <c r="D2" t="str">
        <f>IF(NOT(B2="Sales"),"True","False")</f>
        <v>False</v>
      </c>
      <c r="E2" t="str">
        <f>IF(NOT(B2="Sales"),"Outside Sales","Sales Team")</f>
        <v>Sales Team</v>
      </c>
    </row>
    <row r="3" spans="1:5">
      <c r="A3" t="s">
        <v>6</v>
      </c>
      <c r="B3" t="s">
        <v>5</v>
      </c>
      <c r="D3" t="str">
        <f t="shared" ref="D3:D6" si="0">IF(NOT(B3="Sales"),"True","False")</f>
        <v>True</v>
      </c>
      <c r="E3" t="str">
        <f t="shared" ref="E3:E6" si="1">IF(NOT(B3="Sales"),"Outside Sales","Sales Team")</f>
        <v>Outside Sales</v>
      </c>
    </row>
    <row r="4" spans="1:5">
      <c r="A4" t="s">
        <v>11</v>
      </c>
      <c r="B4" t="s">
        <v>8</v>
      </c>
      <c r="D4" t="str">
        <f t="shared" si="0"/>
        <v>True</v>
      </c>
      <c r="E4" t="str">
        <f t="shared" si="1"/>
        <v>Outside Sales</v>
      </c>
    </row>
    <row r="5" spans="1:5">
      <c r="A5" t="s">
        <v>9</v>
      </c>
      <c r="B5" t="s">
        <v>4</v>
      </c>
      <c r="D5" t="str">
        <f t="shared" si="0"/>
        <v>False</v>
      </c>
      <c r="E5" t="str">
        <f t="shared" si="1"/>
        <v>Sales Team</v>
      </c>
    </row>
    <row r="6" spans="1:5">
      <c r="A6" t="s">
        <v>10</v>
      </c>
      <c r="B6" t="s">
        <v>17</v>
      </c>
      <c r="D6" t="str">
        <f t="shared" si="0"/>
        <v>True</v>
      </c>
      <c r="E6" t="str">
        <f t="shared" si="1"/>
        <v>Outside Sales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2026-07-23T03:07:26Z</dcterms:created>
  <dcterms:modified xsi:type="dcterms:W3CDTF">2026-07-23T16:22:26Z</dcterms:modified>
  <cp:category/>
  <cp:contentStatus/>
</cp:coreProperties>
</file>