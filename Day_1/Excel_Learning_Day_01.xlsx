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0" documentId="8_{3DDBA8CE-7A28-4652-92AB-25148FA16004}" xr6:coauthVersionLast="47" xr6:coauthVersionMax="47" xr10:uidLastSave="{00000000-0000-0000-0000-000000000000}"/>
  <bookViews>
    <workbookView xWindow="240" yWindow="105" windowWidth="14805" windowHeight="8010" firstSheet="8" activeTab="8" xr2:uid="{00000000-000D-0000-FFFF-FFFF00000000}"/>
  </bookViews>
  <sheets>
    <sheet name="Introduction" sheetId="1" r:id="rId1"/>
    <sheet name="Data Entry" sheetId="2" r:id="rId2"/>
    <sheet name="Absolute Reference" sheetId="3" r:id="rId3"/>
    <sheet name="Mixed Reference" sheetId="4" r:id="rId4"/>
    <sheet name="SUM Practice" sheetId="5" r:id="rId5"/>
    <sheet name="AVERAGE Practice" sheetId="6" r:id="rId6"/>
    <sheet name="MIN MAX Practice" sheetId="7" r:id="rId7"/>
    <sheet name="COUNT Practice" sheetId="8" r:id="rId8"/>
    <sheet name="IF Practice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1" i="9" l="1"/>
  <c r="L12" i="9"/>
  <c r="L13" i="9"/>
  <c r="L14" i="9"/>
  <c r="L10" i="9"/>
  <c r="L6" i="9"/>
  <c r="L5" i="9"/>
  <c r="L4" i="9"/>
  <c r="L3" i="9"/>
  <c r="L2" i="9"/>
  <c r="C17" i="9"/>
  <c r="C16" i="9"/>
  <c r="C15" i="9"/>
  <c r="C14" i="9"/>
  <c r="C13" i="9"/>
  <c r="C3" i="9"/>
  <c r="C4" i="9"/>
  <c r="C5" i="9"/>
  <c r="C6" i="9"/>
  <c r="C2" i="9"/>
  <c r="B18" i="8"/>
  <c r="B16" i="8"/>
  <c r="B14" i="8"/>
  <c r="B12" i="8"/>
  <c r="B10" i="8"/>
  <c r="J21" i="7"/>
  <c r="J20" i="7"/>
  <c r="P9" i="7"/>
  <c r="P8" i="7"/>
  <c r="J9" i="7"/>
  <c r="J8" i="7"/>
  <c r="B9" i="7"/>
  <c r="B8" i="7"/>
  <c r="I19" i="6"/>
  <c r="I9" i="6"/>
  <c r="C17" i="6"/>
  <c r="B17" i="6"/>
  <c r="C7" i="6"/>
  <c r="B7" i="6"/>
  <c r="C8" i="5"/>
  <c r="B8" i="5"/>
  <c r="D3" i="4"/>
  <c r="D4" i="4"/>
  <c r="E4" i="4"/>
  <c r="F4" i="4"/>
  <c r="G4" i="4"/>
  <c r="D5" i="4"/>
  <c r="E5" i="4"/>
  <c r="F5" i="4"/>
  <c r="G5" i="4"/>
  <c r="E3" i="4"/>
  <c r="F3" i="4"/>
  <c r="G3" i="4"/>
  <c r="D3" i="3"/>
  <c r="D4" i="3"/>
  <c r="D2" i="3"/>
  <c r="C2" i="3"/>
  <c r="C3" i="3"/>
  <c r="C4" i="3"/>
  <c r="F17" i="2"/>
  <c r="F18" i="2"/>
  <c r="F16" i="2"/>
</calcChain>
</file>

<file path=xl/sharedStrings.xml><?xml version="1.0" encoding="utf-8"?>
<sst xmlns="http://schemas.openxmlformats.org/spreadsheetml/2006/main" count="219" uniqueCount="82">
  <si>
    <t>Employee_ID</t>
  </si>
  <si>
    <t>Employee_Name</t>
  </si>
  <si>
    <t>Department</t>
  </si>
  <si>
    <t>Salary</t>
  </si>
  <si>
    <t>Joining_Date</t>
  </si>
  <si>
    <t>TXN-1001</t>
  </si>
  <si>
    <t>Liam</t>
  </si>
  <si>
    <t>Electronics</t>
  </si>
  <si>
    <t>TXN-1002</t>
  </si>
  <si>
    <t>Olivia</t>
  </si>
  <si>
    <t>Apparel</t>
  </si>
  <si>
    <t>TXN-1003</t>
  </si>
  <si>
    <t>Noah</t>
  </si>
  <si>
    <t>Home</t>
  </si>
  <si>
    <t>TXN-1004</t>
  </si>
  <si>
    <t>Emma</t>
  </si>
  <si>
    <t>TXN-1005</t>
  </si>
  <si>
    <t>Oliver</t>
  </si>
  <si>
    <t>Beauty</t>
  </si>
  <si>
    <t>TXN-1006</t>
  </si>
  <si>
    <t>Sophia</t>
  </si>
  <si>
    <t>TXN-1007</t>
  </si>
  <si>
    <t>Elijah</t>
  </si>
  <si>
    <t>TXN-1008</t>
  </si>
  <si>
    <t>Isabella</t>
  </si>
  <si>
    <t>TXN-1009</t>
  </si>
  <si>
    <t>Lucas</t>
  </si>
  <si>
    <t>TXN-1010</t>
  </si>
  <si>
    <t>Mia</t>
  </si>
  <si>
    <t>Bonus</t>
  </si>
  <si>
    <t>Performance</t>
  </si>
  <si>
    <t>EMP-1001</t>
  </si>
  <si>
    <t>Aarav</t>
  </si>
  <si>
    <t>Sales</t>
  </si>
  <si>
    <t>EMP-1002</t>
  </si>
  <si>
    <t>Priya</t>
  </si>
  <si>
    <t>HR</t>
  </si>
  <si>
    <t>EMP-1003</t>
  </si>
  <si>
    <t>Karan</t>
  </si>
  <si>
    <t>IT</t>
  </si>
  <si>
    <t>EMP-1004</t>
  </si>
  <si>
    <t>Neha</t>
  </si>
  <si>
    <t>Finance</t>
  </si>
  <si>
    <t>EMP-1005</t>
  </si>
  <si>
    <t>Rohan</t>
  </si>
  <si>
    <t>Marketing</t>
  </si>
  <si>
    <t>A</t>
  </si>
  <si>
    <t>B</t>
  </si>
  <si>
    <t>C</t>
  </si>
  <si>
    <t>D</t>
  </si>
  <si>
    <t>E</t>
  </si>
  <si>
    <t>H</t>
  </si>
  <si>
    <t>Product</t>
  </si>
  <si>
    <t>Price</t>
  </si>
  <si>
    <t>Quantity</t>
  </si>
  <si>
    <t>Total Salary</t>
  </si>
  <si>
    <t>Laptop</t>
  </si>
  <si>
    <t>Mouse</t>
  </si>
  <si>
    <t>Keyboard</t>
  </si>
  <si>
    <t>Discount</t>
  </si>
  <si>
    <t>Discount Rate</t>
  </si>
  <si>
    <t>price</t>
  </si>
  <si>
    <t>Employee</t>
  </si>
  <si>
    <t>using+</t>
  </si>
  <si>
    <t>USING AVG FUNCTION</t>
  </si>
  <si>
    <t>using SUM/TOTAL</t>
  </si>
  <si>
    <t>TASK 4</t>
  </si>
  <si>
    <t>ABSENT</t>
  </si>
  <si>
    <t>TASK 3</t>
  </si>
  <si>
    <t>TASK 5</t>
  </si>
  <si>
    <t>Task3</t>
  </si>
  <si>
    <t>Task4</t>
  </si>
  <si>
    <t>Absent</t>
  </si>
  <si>
    <t>Highest salary-</t>
  </si>
  <si>
    <t>Lowest Salary-</t>
  </si>
  <si>
    <t>Task5</t>
  </si>
  <si>
    <t>Task 1</t>
  </si>
  <si>
    <t>Task 2</t>
  </si>
  <si>
    <t>Task 3</t>
  </si>
  <si>
    <t>Task 4</t>
  </si>
  <si>
    <t>Task 5</t>
  </si>
  <si>
    <t>Bonus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</si>
</sst>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/>
    <xf numFmtId="15" fontId="0" fillId="0" borderId="0" xfId="0" applyNumberFormat="1"/>
    <xf numFmtId="9" fontId="0" fillId="0" borderId="0" xfId="0" applyNumberFormat="1"/>
    <xf numFmtId="2" fontId="1" fillId="0" borderId="0" xfId="0" applyNumberFormat="1" applyFont="1"/>
    <xf numFmtId="164" fontId="1" fillId="0" borderId="0" xfId="0" applyNumberFormat="1" applyFont="1"/>
    <xf numFmtId="10" fontId="1" fillId="0" borderId="0" xfId="0" applyNumberFormat="1" applyFont="1"/>
    <xf numFmtId="3" fontId="0" fillId="0" borderId="0" xfId="0" applyNumberFormat="1"/>
    <xf numFmtId="9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">
    <dxf>
      <numFmt numFmtId="13" formatCode="0%"/>
    </dxf>
    <dxf>
      <numFmt numFmtId="20" formatCode="d\-mmm\-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23287B-5AF3-4E3F-87C5-94021625C29C}" name="Table1" displayName="Table1" ref="A1:G6" totalsRowShown="0">
  <autoFilter ref="A1:G6" xr:uid="{3223287B-5AF3-4E3F-87C5-94021625C29C}"/>
  <tableColumns count="7">
    <tableColumn id="1" xr3:uid="{D8A0B3F2-765D-4019-87FE-973C802AB1CF}" name="Employee_ID"/>
    <tableColumn id="2" xr3:uid="{CA4506FF-192C-4702-981C-FDAA0B2CD596}" name="Employee_Name"/>
    <tableColumn id="3" xr3:uid="{E63B3657-FC3D-42C1-9DF8-328E897426DD}" name="Department"/>
    <tableColumn id="4" xr3:uid="{812ACB12-9DDD-4291-A906-8437D548DF83}" name="Salary"/>
    <tableColumn id="5" xr3:uid="{36239ABE-67A4-4F55-9A61-B14207622483}" name="Bonus"/>
    <tableColumn id="6" xr3:uid="{63981452-9F08-4E8B-A8DE-323A3FD3C9A9}" name="Joining_Date" dataDxfId="1"/>
    <tableColumn id="7" xr3:uid="{2DD6AC1C-18E0-42ED-80D1-F8005D72C82F}" name="Performanc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workbookViewId="0">
      <selection activeCell="E16" sqref="E16"/>
    </sheetView>
  </sheetViews>
  <sheetFormatPr defaultRowHeight="15"/>
  <cols>
    <col min="2" max="2" width="12.7109375" bestFit="1" customWidth="1"/>
    <col min="3" max="3" width="16.140625" bestFit="1" customWidth="1"/>
    <col min="4" max="4" width="11.7109375" bestFit="1" customWidth="1"/>
    <col min="6" max="6" width="12.42578125" bestFit="1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>
        <v>1</v>
      </c>
      <c r="B2" t="s">
        <v>5</v>
      </c>
      <c r="C2" t="s">
        <v>6</v>
      </c>
      <c r="D2" t="s">
        <v>7</v>
      </c>
      <c r="E2">
        <v>60000</v>
      </c>
      <c r="F2" s="2">
        <v>46037</v>
      </c>
    </row>
    <row r="3" spans="1:6">
      <c r="A3">
        <v>2</v>
      </c>
      <c r="B3" t="s">
        <v>8</v>
      </c>
      <c r="C3" t="s">
        <v>9</v>
      </c>
      <c r="D3" t="s">
        <v>10</v>
      </c>
      <c r="E3">
        <v>70000</v>
      </c>
      <c r="F3" s="2">
        <v>46038</v>
      </c>
    </row>
    <row r="4" spans="1:6">
      <c r="A4">
        <v>3</v>
      </c>
      <c r="B4" t="s">
        <v>11</v>
      </c>
      <c r="C4" t="s">
        <v>12</v>
      </c>
      <c r="D4" t="s">
        <v>13</v>
      </c>
      <c r="E4">
        <v>50000</v>
      </c>
      <c r="F4" s="2">
        <v>46038</v>
      </c>
    </row>
    <row r="5" spans="1:6">
      <c r="A5">
        <v>4</v>
      </c>
      <c r="B5" t="s">
        <v>14</v>
      </c>
      <c r="C5" t="s">
        <v>15</v>
      </c>
      <c r="D5" t="s">
        <v>7</v>
      </c>
      <c r="E5">
        <v>70000</v>
      </c>
      <c r="F5" s="2">
        <v>46039</v>
      </c>
    </row>
    <row r="6" spans="1:6">
      <c r="A6">
        <v>5</v>
      </c>
      <c r="B6" t="s">
        <v>16</v>
      </c>
      <c r="C6" t="s">
        <v>17</v>
      </c>
      <c r="D6" t="s">
        <v>18</v>
      </c>
      <c r="E6">
        <v>80000</v>
      </c>
      <c r="F6" s="2">
        <v>46040</v>
      </c>
    </row>
    <row r="7" spans="1:6">
      <c r="A7">
        <v>6</v>
      </c>
      <c r="B7" t="s">
        <v>19</v>
      </c>
      <c r="C7" t="s">
        <v>20</v>
      </c>
      <c r="D7" t="s">
        <v>10</v>
      </c>
      <c r="E7">
        <v>90000</v>
      </c>
      <c r="F7" s="2">
        <v>46041</v>
      </c>
    </row>
    <row r="8" spans="1:6">
      <c r="A8">
        <v>7</v>
      </c>
      <c r="B8" t="s">
        <v>21</v>
      </c>
      <c r="C8" t="s">
        <v>22</v>
      </c>
      <c r="D8" t="s">
        <v>13</v>
      </c>
      <c r="E8">
        <v>100000</v>
      </c>
      <c r="F8" s="2">
        <v>46041</v>
      </c>
    </row>
    <row r="9" spans="1:6">
      <c r="A9">
        <v>8</v>
      </c>
      <c r="B9" t="s">
        <v>23</v>
      </c>
      <c r="C9" t="s">
        <v>24</v>
      </c>
      <c r="D9" t="s">
        <v>7</v>
      </c>
      <c r="E9">
        <v>400000</v>
      </c>
      <c r="F9" s="2">
        <v>46042</v>
      </c>
    </row>
    <row r="10" spans="1:6">
      <c r="A10">
        <v>9</v>
      </c>
      <c r="B10" t="s">
        <v>25</v>
      </c>
      <c r="C10" t="s">
        <v>26</v>
      </c>
      <c r="D10" t="s">
        <v>18</v>
      </c>
      <c r="E10">
        <v>300000</v>
      </c>
      <c r="F10" s="2">
        <v>46043</v>
      </c>
    </row>
    <row r="11" spans="1:6">
      <c r="A11">
        <v>10</v>
      </c>
      <c r="B11" t="s">
        <v>27</v>
      </c>
      <c r="C11" t="s">
        <v>28</v>
      </c>
      <c r="D11" t="s">
        <v>10</v>
      </c>
      <c r="E11">
        <v>200000</v>
      </c>
      <c r="F11" s="2">
        <v>46044</v>
      </c>
    </row>
    <row r="26" spans="3:3">
      <c r="C26" s="2"/>
    </row>
    <row r="27" spans="3:3">
      <c r="C27" s="2"/>
    </row>
    <row r="28" spans="3:3">
      <c r="C28" s="2"/>
    </row>
    <row r="29" spans="3:3">
      <c r="C29" s="2"/>
    </row>
    <row r="30" spans="3:3">
      <c r="C30" s="2"/>
    </row>
    <row r="31" spans="3:3">
      <c r="C31" s="2"/>
    </row>
    <row r="32" spans="3:3">
      <c r="C32" s="2"/>
    </row>
    <row r="33" spans="3:3">
      <c r="C33" s="2"/>
    </row>
    <row r="34" spans="3:3">
      <c r="C34" s="2"/>
    </row>
    <row r="35" spans="3:3">
      <c r="C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52B2B-3EB9-4CF0-82D2-BC7CF67692BC}">
  <dimension ref="A1:G18"/>
  <sheetViews>
    <sheetView topLeftCell="A11" workbookViewId="0">
      <selection activeCell="E16" sqref="E16"/>
    </sheetView>
  </sheetViews>
  <sheetFormatPr defaultRowHeight="15"/>
  <cols>
    <col min="1" max="1" width="15.140625" bestFit="1" customWidth="1"/>
    <col min="2" max="2" width="18.7109375" bestFit="1" customWidth="1"/>
    <col min="3" max="3" width="14.28515625" bestFit="1" customWidth="1"/>
    <col min="4" max="4" width="8.85546875" bestFit="1" customWidth="1"/>
    <col min="6" max="6" width="15" bestFit="1" customWidth="1"/>
    <col min="7" max="7" width="14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5" t="s">
        <v>3</v>
      </c>
      <c r="E1" s="5" t="s">
        <v>29</v>
      </c>
      <c r="F1" s="6" t="s">
        <v>4</v>
      </c>
      <c r="G1" s="7" t="s">
        <v>30</v>
      </c>
    </row>
    <row r="2" spans="1:7">
      <c r="A2" t="s">
        <v>31</v>
      </c>
      <c r="B2" t="s">
        <v>32</v>
      </c>
      <c r="C2" t="s">
        <v>33</v>
      </c>
      <c r="D2" s="8">
        <v>45000</v>
      </c>
      <c r="E2">
        <v>5000</v>
      </c>
      <c r="F2" s="3">
        <v>45667</v>
      </c>
      <c r="G2" s="4">
        <v>0.95</v>
      </c>
    </row>
    <row r="3" spans="1:7">
      <c r="A3" t="s">
        <v>34</v>
      </c>
      <c r="B3" t="s">
        <v>35</v>
      </c>
      <c r="C3" t="s">
        <v>36</v>
      </c>
      <c r="D3" s="8">
        <v>52000</v>
      </c>
      <c r="E3">
        <v>4000</v>
      </c>
      <c r="F3" s="3">
        <v>45703</v>
      </c>
      <c r="G3" s="4">
        <v>0.88</v>
      </c>
    </row>
    <row r="4" spans="1:7">
      <c r="A4" t="s">
        <v>37</v>
      </c>
      <c r="B4" t="s">
        <v>38</v>
      </c>
      <c r="C4" t="s">
        <v>39</v>
      </c>
      <c r="D4" s="8">
        <v>65000</v>
      </c>
      <c r="E4">
        <v>7000</v>
      </c>
      <c r="F4" s="3">
        <v>45737</v>
      </c>
      <c r="G4" s="4">
        <v>0.92</v>
      </c>
    </row>
    <row r="5" spans="1:7">
      <c r="A5" t="s">
        <v>40</v>
      </c>
      <c r="B5" t="s">
        <v>41</v>
      </c>
      <c r="C5" t="s">
        <v>42</v>
      </c>
      <c r="D5" s="8">
        <v>58000</v>
      </c>
      <c r="E5">
        <v>4500</v>
      </c>
      <c r="F5" s="3">
        <v>45752</v>
      </c>
      <c r="G5" s="4">
        <v>0.85</v>
      </c>
    </row>
    <row r="6" spans="1:7">
      <c r="A6" t="s">
        <v>43</v>
      </c>
      <c r="B6" t="s">
        <v>44</v>
      </c>
      <c r="C6" t="s">
        <v>45</v>
      </c>
      <c r="D6" s="8">
        <v>47000</v>
      </c>
      <c r="E6">
        <v>3000</v>
      </c>
      <c r="F6" s="3">
        <v>45795</v>
      </c>
      <c r="G6" s="4">
        <v>0.9</v>
      </c>
    </row>
    <row r="14" spans="1:7">
      <c r="A14" s="1" t="s">
        <v>46</v>
      </c>
      <c r="B14" s="1" t="s">
        <v>47</v>
      </c>
      <c r="C14" s="1" t="s">
        <v>48</v>
      </c>
      <c r="D14" s="1" t="s">
        <v>49</v>
      </c>
      <c r="E14" s="1" t="s">
        <v>50</v>
      </c>
      <c r="F14" s="1" t="s">
        <v>51</v>
      </c>
    </row>
    <row r="15" spans="1:7">
      <c r="A15" t="s">
        <v>52</v>
      </c>
      <c r="B15" t="s">
        <v>53</v>
      </c>
      <c r="C15" t="s">
        <v>54</v>
      </c>
      <c r="D15" t="s">
        <v>3</v>
      </c>
      <c r="E15" t="s">
        <v>29</v>
      </c>
      <c r="F15" t="s">
        <v>55</v>
      </c>
    </row>
    <row r="16" spans="1:7">
      <c r="A16" t="s">
        <v>56</v>
      </c>
      <c r="B16">
        <v>50000</v>
      </c>
      <c r="C16">
        <v>2</v>
      </c>
      <c r="D16" s="8">
        <v>50000</v>
      </c>
      <c r="E16" s="8">
        <v>5000</v>
      </c>
      <c r="F16" s="8">
        <f>D16+E16</f>
        <v>55000</v>
      </c>
    </row>
    <row r="17" spans="1:6">
      <c r="A17" t="s">
        <v>57</v>
      </c>
      <c r="B17">
        <v>1000</v>
      </c>
      <c r="C17">
        <v>3</v>
      </c>
      <c r="D17" s="8">
        <v>70000</v>
      </c>
      <c r="E17" s="8">
        <v>15000</v>
      </c>
      <c r="F17" s="8">
        <f t="shared" ref="F17:F18" si="0">D17+E17</f>
        <v>85000</v>
      </c>
    </row>
    <row r="18" spans="1:6">
      <c r="A18" t="s">
        <v>58</v>
      </c>
      <c r="B18">
        <v>2500</v>
      </c>
      <c r="C18">
        <v>4</v>
      </c>
      <c r="D18" s="8">
        <v>80000</v>
      </c>
      <c r="E18" s="8">
        <v>5000</v>
      </c>
      <c r="F18" s="8">
        <f t="shared" si="0"/>
        <v>85000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2945B-6D3F-4969-8173-8EBF29292F41}">
  <dimension ref="A1:D6"/>
  <sheetViews>
    <sheetView workbookViewId="0">
      <selection activeCell="D8" sqref="D8"/>
    </sheetView>
  </sheetViews>
  <sheetFormatPr defaultRowHeight="15"/>
  <cols>
    <col min="1" max="1" width="13.42578125" bestFit="1" customWidth="1"/>
  </cols>
  <sheetData>
    <row r="1" spans="1:4">
      <c r="A1" s="1" t="s">
        <v>52</v>
      </c>
      <c r="B1" s="1" t="s">
        <v>53</v>
      </c>
      <c r="C1" s="1" t="s">
        <v>59</v>
      </c>
    </row>
    <row r="2" spans="1:4">
      <c r="A2" t="s">
        <v>56</v>
      </c>
      <c r="B2">
        <v>50000</v>
      </c>
      <c r="C2">
        <f>B2*$B$6</f>
        <v>5000</v>
      </c>
      <c r="D2">
        <f>A5*$D$10</f>
        <v>0</v>
      </c>
    </row>
    <row r="3" spans="1:4">
      <c r="A3" t="s">
        <v>57</v>
      </c>
      <c r="B3">
        <v>1000</v>
      </c>
      <c r="C3">
        <f t="shared" ref="C3:C4" si="0">B3*$B$6</f>
        <v>100</v>
      </c>
      <c r="D3" t="e">
        <f t="shared" ref="D3:D4" si="1">A6*$D$10</f>
        <v>#VALUE!</v>
      </c>
    </row>
    <row r="4" spans="1:4">
      <c r="A4" t="s">
        <v>58</v>
      </c>
      <c r="B4">
        <v>2500</v>
      </c>
      <c r="C4">
        <f t="shared" si="0"/>
        <v>250</v>
      </c>
      <c r="D4">
        <f t="shared" si="1"/>
        <v>0</v>
      </c>
    </row>
    <row r="6" spans="1:4">
      <c r="A6" t="s">
        <v>60</v>
      </c>
      <c r="B6" s="4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A1D9-872B-4C62-B681-2580C1FA0483}">
  <dimension ref="A1:G6"/>
  <sheetViews>
    <sheetView workbookViewId="0">
      <selection activeCell="H8" sqref="H8"/>
    </sheetView>
  </sheetViews>
  <sheetFormatPr defaultRowHeight="15"/>
  <sheetData>
    <row r="1" spans="1:7">
      <c r="A1" s="1"/>
      <c r="B1" s="1" t="s">
        <v>47</v>
      </c>
      <c r="C1" s="1" t="s">
        <v>48</v>
      </c>
      <c r="D1" s="1" t="s">
        <v>49</v>
      </c>
      <c r="E1" s="1" t="s">
        <v>50</v>
      </c>
    </row>
    <row r="2" spans="1:7">
      <c r="A2" s="1"/>
      <c r="C2" s="1" t="s">
        <v>61</v>
      </c>
      <c r="D2" s="9">
        <v>0.05</v>
      </c>
      <c r="E2" s="9">
        <v>0.1</v>
      </c>
      <c r="F2" s="9">
        <v>0.15</v>
      </c>
      <c r="G2" s="9">
        <v>0.2</v>
      </c>
    </row>
    <row r="3" spans="1:7">
      <c r="A3" s="1"/>
      <c r="B3" t="s">
        <v>56</v>
      </c>
      <c r="C3">
        <v>50000</v>
      </c>
      <c r="D3">
        <f>$C3*D$2</f>
        <v>2500</v>
      </c>
      <c r="E3">
        <f t="shared" ref="E3:H5" si="0">$C3*E$2</f>
        <v>5000</v>
      </c>
      <c r="F3">
        <f t="shared" si="0"/>
        <v>7500</v>
      </c>
      <c r="G3">
        <f t="shared" si="0"/>
        <v>10000</v>
      </c>
    </row>
    <row r="4" spans="1:7">
      <c r="A4" s="1"/>
      <c r="B4" t="s">
        <v>57</v>
      </c>
      <c r="C4">
        <v>1000</v>
      </c>
      <c r="D4">
        <f t="shared" ref="D4:D5" si="1">$C4*D$2</f>
        <v>50</v>
      </c>
      <c r="E4">
        <f t="shared" si="0"/>
        <v>100</v>
      </c>
      <c r="F4">
        <f t="shared" si="0"/>
        <v>150</v>
      </c>
      <c r="G4">
        <f t="shared" si="0"/>
        <v>200</v>
      </c>
    </row>
    <row r="5" spans="1:7">
      <c r="A5" s="1"/>
      <c r="B5" t="s">
        <v>58</v>
      </c>
      <c r="C5">
        <v>2500</v>
      </c>
      <c r="D5">
        <f t="shared" si="1"/>
        <v>125</v>
      </c>
      <c r="E5">
        <f t="shared" si="0"/>
        <v>250</v>
      </c>
      <c r="F5">
        <f t="shared" si="0"/>
        <v>375</v>
      </c>
      <c r="G5">
        <f t="shared" si="0"/>
        <v>500</v>
      </c>
    </row>
    <row r="6" spans="1:7">
      <c r="A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779B-9B2E-46F6-B035-E6BF5E236B4E}">
  <dimension ref="A1:C8"/>
  <sheetViews>
    <sheetView workbookViewId="0">
      <selection activeCell="C8" sqref="C8"/>
    </sheetView>
  </sheetViews>
  <sheetFormatPr defaultRowHeight="15"/>
  <sheetData>
    <row r="1" spans="1:3">
      <c r="A1" s="1"/>
      <c r="B1" s="1"/>
    </row>
    <row r="2" spans="1:3">
      <c r="A2" s="1" t="s">
        <v>62</v>
      </c>
      <c r="B2" s="1" t="s">
        <v>3</v>
      </c>
      <c r="C2" s="1" t="s">
        <v>63</v>
      </c>
    </row>
    <row r="3" spans="1:3">
      <c r="A3" t="s">
        <v>32</v>
      </c>
      <c r="B3">
        <v>45000</v>
      </c>
      <c r="C3">
        <v>45000</v>
      </c>
    </row>
    <row r="4" spans="1:3">
      <c r="A4" t="s">
        <v>35</v>
      </c>
      <c r="B4">
        <v>52000</v>
      </c>
      <c r="C4">
        <v>52000</v>
      </c>
    </row>
    <row r="5" spans="1:3">
      <c r="A5" t="s">
        <v>38</v>
      </c>
      <c r="B5">
        <v>65000</v>
      </c>
      <c r="C5">
        <v>65000</v>
      </c>
    </row>
    <row r="6" spans="1:3">
      <c r="A6" t="s">
        <v>41</v>
      </c>
      <c r="B6">
        <v>58000</v>
      </c>
      <c r="C6">
        <v>58000</v>
      </c>
    </row>
    <row r="7" spans="1:3">
      <c r="A7" t="s">
        <v>44</v>
      </c>
      <c r="B7">
        <v>47000</v>
      </c>
      <c r="C7">
        <v>47000</v>
      </c>
    </row>
    <row r="8" spans="1:3">
      <c r="B8" s="1">
        <f>SUM(B3:B7)</f>
        <v>267000</v>
      </c>
      <c r="C8" s="1">
        <f>SUM(C3+C4+C5+C6+C7)</f>
        <v>267000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2202-A598-425D-9D33-817D7FEF056C}">
  <dimension ref="A1:J19"/>
  <sheetViews>
    <sheetView workbookViewId="0">
      <selection activeCell="J15" sqref="J15"/>
    </sheetView>
  </sheetViews>
  <sheetFormatPr defaultRowHeight="15"/>
  <cols>
    <col min="2" max="2" width="21.7109375" bestFit="1" customWidth="1"/>
    <col min="3" max="3" width="17" bestFit="1" customWidth="1"/>
    <col min="9" max="9" width="21.7109375" bestFit="1" customWidth="1"/>
  </cols>
  <sheetData>
    <row r="1" spans="1:10">
      <c r="A1" s="1" t="s">
        <v>62</v>
      </c>
      <c r="B1" s="1" t="s">
        <v>64</v>
      </c>
      <c r="C1" s="1" t="s">
        <v>65</v>
      </c>
    </row>
    <row r="2" spans="1:10">
      <c r="A2" t="s">
        <v>32</v>
      </c>
      <c r="B2">
        <v>45000</v>
      </c>
      <c r="C2">
        <v>45000</v>
      </c>
      <c r="H2" s="1" t="s">
        <v>66</v>
      </c>
    </row>
    <row r="3" spans="1:10">
      <c r="A3" t="s">
        <v>35</v>
      </c>
      <c r="B3">
        <v>52000</v>
      </c>
      <c r="C3">
        <v>52000</v>
      </c>
      <c r="H3" s="1" t="s">
        <v>62</v>
      </c>
      <c r="I3" s="1" t="s">
        <v>64</v>
      </c>
      <c r="J3" s="1"/>
    </row>
    <row r="4" spans="1:10">
      <c r="A4" t="s">
        <v>38</v>
      </c>
      <c r="B4">
        <v>65000</v>
      </c>
      <c r="C4">
        <v>65000</v>
      </c>
      <c r="H4" t="s">
        <v>32</v>
      </c>
      <c r="I4">
        <v>45000</v>
      </c>
    </row>
    <row r="5" spans="1:10">
      <c r="A5" t="s">
        <v>41</v>
      </c>
      <c r="B5">
        <v>58000</v>
      </c>
      <c r="C5">
        <v>58000</v>
      </c>
      <c r="H5" t="s">
        <v>35</v>
      </c>
      <c r="I5" t="s">
        <v>67</v>
      </c>
    </row>
    <row r="6" spans="1:10">
      <c r="A6" t="s">
        <v>44</v>
      </c>
      <c r="B6">
        <v>47000</v>
      </c>
      <c r="C6">
        <v>47000</v>
      </c>
      <c r="H6" t="s">
        <v>38</v>
      </c>
      <c r="I6">
        <v>65000</v>
      </c>
    </row>
    <row r="7" spans="1:10">
      <c r="B7" s="1">
        <f>AVERAGE(B2:B6)</f>
        <v>53400</v>
      </c>
      <c r="C7" s="1">
        <f>SUM(C2:C6)/5</f>
        <v>53400</v>
      </c>
      <c r="H7" t="s">
        <v>41</v>
      </c>
      <c r="I7">
        <v>58000</v>
      </c>
    </row>
    <row r="8" spans="1:10">
      <c r="H8" t="s">
        <v>44</v>
      </c>
      <c r="I8">
        <v>47000</v>
      </c>
    </row>
    <row r="9" spans="1:10">
      <c r="I9" s="1">
        <f>AVERAGE(I4:I8)</f>
        <v>53750</v>
      </c>
      <c r="J9" s="1"/>
    </row>
    <row r="10" spans="1:10">
      <c r="A10" s="1" t="s">
        <v>68</v>
      </c>
    </row>
    <row r="11" spans="1:10">
      <c r="A11" s="1" t="s">
        <v>62</v>
      </c>
      <c r="B11" s="1" t="s">
        <v>64</v>
      </c>
      <c r="C11" s="1" t="s">
        <v>65</v>
      </c>
    </row>
    <row r="12" spans="1:10">
      <c r="A12" t="s">
        <v>32</v>
      </c>
      <c r="B12">
        <v>45000</v>
      </c>
      <c r="C12">
        <v>45000</v>
      </c>
      <c r="H12" s="1" t="s">
        <v>69</v>
      </c>
    </row>
    <row r="13" spans="1:10">
      <c r="A13" t="s">
        <v>35</v>
      </c>
      <c r="B13">
        <v>52000</v>
      </c>
      <c r="C13">
        <v>52000</v>
      </c>
      <c r="H13" s="1" t="s">
        <v>62</v>
      </c>
      <c r="I13" s="1" t="s">
        <v>64</v>
      </c>
    </row>
    <row r="14" spans="1:10">
      <c r="H14" t="s">
        <v>32</v>
      </c>
      <c r="I14">
        <v>45000</v>
      </c>
    </row>
    <row r="15" spans="1:10">
      <c r="A15" t="s">
        <v>41</v>
      </c>
      <c r="B15">
        <v>58000</v>
      </c>
      <c r="C15">
        <v>58000</v>
      </c>
      <c r="H15" t="s">
        <v>35</v>
      </c>
      <c r="I15">
        <v>0</v>
      </c>
    </row>
    <row r="16" spans="1:10">
      <c r="A16" t="s">
        <v>44</v>
      </c>
      <c r="B16">
        <v>47000</v>
      </c>
      <c r="C16">
        <v>47000</v>
      </c>
      <c r="H16" t="s">
        <v>38</v>
      </c>
      <c r="I16">
        <v>65000</v>
      </c>
    </row>
    <row r="17" spans="2:9">
      <c r="B17" s="1">
        <f>AVERAGE(B12:B16)</f>
        <v>50500</v>
      </c>
      <c r="C17" s="1">
        <f>SUM(C12:C16)/5</f>
        <v>40400</v>
      </c>
      <c r="H17" t="s">
        <v>41</v>
      </c>
      <c r="I17">
        <v>58000</v>
      </c>
    </row>
    <row r="18" spans="2:9">
      <c r="H18" t="s">
        <v>44</v>
      </c>
      <c r="I18">
        <v>47000</v>
      </c>
    </row>
    <row r="19" spans="2:9">
      <c r="I19" s="1">
        <f>AVERAGE(I14:I18)</f>
        <v>43000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3B08-438B-4320-B276-054C15B5AD65}">
  <dimension ref="A1:P21"/>
  <sheetViews>
    <sheetView workbookViewId="0">
      <selection activeCell="L17" sqref="L17"/>
    </sheetView>
  </sheetViews>
  <sheetFormatPr defaultRowHeight="15"/>
  <cols>
    <col min="1" max="1" width="14.140625" bestFit="1" customWidth="1"/>
    <col min="9" max="9" width="14.42578125" bestFit="1" customWidth="1"/>
    <col min="15" max="15" width="14.42578125" bestFit="1" customWidth="1"/>
  </cols>
  <sheetData>
    <row r="1" spans="1:16">
      <c r="A1" s="1" t="s">
        <v>62</v>
      </c>
      <c r="B1" s="1" t="s">
        <v>3</v>
      </c>
      <c r="H1" s="1" t="s">
        <v>70</v>
      </c>
      <c r="I1" s="1" t="s">
        <v>62</v>
      </c>
      <c r="J1" s="1" t="s">
        <v>3</v>
      </c>
      <c r="N1" s="1" t="s">
        <v>71</v>
      </c>
      <c r="O1" s="1" t="s">
        <v>62</v>
      </c>
      <c r="P1" s="1" t="s">
        <v>3</v>
      </c>
    </row>
    <row r="2" spans="1:16">
      <c r="A2" t="s">
        <v>32</v>
      </c>
      <c r="B2">
        <v>45000</v>
      </c>
      <c r="I2" t="s">
        <v>32</v>
      </c>
      <c r="J2">
        <v>45000</v>
      </c>
      <c r="O2" t="s">
        <v>32</v>
      </c>
      <c r="P2">
        <v>45000</v>
      </c>
    </row>
    <row r="3" spans="1:16">
      <c r="A3" t="s">
        <v>35</v>
      </c>
      <c r="B3">
        <v>52000</v>
      </c>
      <c r="I3" t="s">
        <v>35</v>
      </c>
      <c r="J3">
        <v>52000</v>
      </c>
      <c r="O3" t="s">
        <v>35</v>
      </c>
      <c r="P3">
        <v>52000</v>
      </c>
    </row>
    <row r="4" spans="1:16">
      <c r="A4" t="s">
        <v>38</v>
      </c>
      <c r="B4">
        <v>65000</v>
      </c>
      <c r="I4" t="s">
        <v>38</v>
      </c>
      <c r="J4">
        <v>0</v>
      </c>
      <c r="O4" t="s">
        <v>38</v>
      </c>
      <c r="P4" t="s">
        <v>72</v>
      </c>
    </row>
    <row r="5" spans="1:16">
      <c r="A5" t="s">
        <v>41</v>
      </c>
      <c r="B5">
        <v>58000</v>
      </c>
      <c r="I5" t="s">
        <v>41</v>
      </c>
      <c r="J5">
        <v>58000</v>
      </c>
      <c r="O5" t="s">
        <v>41</v>
      </c>
      <c r="P5">
        <v>58000</v>
      </c>
    </row>
    <row r="6" spans="1:16">
      <c r="A6" t="s">
        <v>44</v>
      </c>
      <c r="B6">
        <v>47000</v>
      </c>
      <c r="I6" t="s">
        <v>44</v>
      </c>
      <c r="J6">
        <v>47000</v>
      </c>
      <c r="O6" t="s">
        <v>44</v>
      </c>
      <c r="P6">
        <v>47000</v>
      </c>
    </row>
    <row r="8" spans="1:16">
      <c r="A8" s="1" t="s">
        <v>73</v>
      </c>
      <c r="B8">
        <f>MAX(B2:B6)</f>
        <v>65000</v>
      </c>
      <c r="I8" s="1" t="s">
        <v>73</v>
      </c>
      <c r="J8">
        <f>MAX(J2:J6)</f>
        <v>58000</v>
      </c>
      <c r="O8" s="1" t="s">
        <v>73</v>
      </c>
      <c r="P8">
        <f>MAX(P2:P6)</f>
        <v>58000</v>
      </c>
    </row>
    <row r="9" spans="1:16">
      <c r="A9" s="1" t="s">
        <v>74</v>
      </c>
      <c r="B9">
        <f>MIN(B2:B6)</f>
        <v>45000</v>
      </c>
      <c r="I9" s="1" t="s">
        <v>74</v>
      </c>
      <c r="J9">
        <f>MIN(J2:J6)</f>
        <v>0</v>
      </c>
      <c r="O9" s="1" t="s">
        <v>74</v>
      </c>
      <c r="P9">
        <f>MIN(P2:P6)</f>
        <v>45000</v>
      </c>
    </row>
    <row r="13" spans="1:16">
      <c r="H13" s="1" t="s">
        <v>75</v>
      </c>
      <c r="I13" s="1" t="s">
        <v>62</v>
      </c>
      <c r="J13" s="1" t="s">
        <v>3</v>
      </c>
    </row>
    <row r="14" spans="1:16">
      <c r="I14" t="s">
        <v>32</v>
      </c>
      <c r="J14">
        <v>45000</v>
      </c>
    </row>
    <row r="15" spans="1:16">
      <c r="I15" t="s">
        <v>35</v>
      </c>
      <c r="J15">
        <v>52000</v>
      </c>
    </row>
    <row r="16" spans="1:16">
      <c r="I16" t="s">
        <v>38</v>
      </c>
      <c r="J16">
        <v>-5000</v>
      </c>
    </row>
    <row r="17" spans="9:10">
      <c r="I17" t="s">
        <v>41</v>
      </c>
      <c r="J17">
        <v>58000</v>
      </c>
    </row>
    <row r="18" spans="9:10">
      <c r="I18" t="s">
        <v>44</v>
      </c>
      <c r="J18">
        <v>47000</v>
      </c>
    </row>
    <row r="20" spans="9:10">
      <c r="I20" s="1" t="s">
        <v>73</v>
      </c>
      <c r="J20">
        <f>MAX(J14:J18)</f>
        <v>58000</v>
      </c>
    </row>
    <row r="21" spans="9:10">
      <c r="I21" s="1" t="s">
        <v>74</v>
      </c>
      <c r="J21">
        <f>MIN(J14:J18)</f>
        <v>-5000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F71F-C3CD-4CA9-9929-6E1835BB1FF7}">
  <dimension ref="A1:C18"/>
  <sheetViews>
    <sheetView workbookViewId="0">
      <selection activeCell="B16" sqref="B16"/>
    </sheetView>
  </sheetViews>
  <sheetFormatPr defaultRowHeight="15"/>
  <cols>
    <col min="2" max="2" width="16.140625" bestFit="1" customWidth="1"/>
    <col min="3" max="3" width="12" bestFit="1" customWidth="1"/>
  </cols>
  <sheetData>
    <row r="1" spans="1:3">
      <c r="A1" s="1" t="s">
        <v>62</v>
      </c>
      <c r="B1" s="1" t="s">
        <v>3</v>
      </c>
      <c r="C1" s="1" t="s">
        <v>2</v>
      </c>
    </row>
    <row r="2" spans="1:3">
      <c r="A2" t="s">
        <v>32</v>
      </c>
      <c r="B2">
        <v>45000</v>
      </c>
      <c r="C2" t="s">
        <v>33</v>
      </c>
    </row>
    <row r="3" spans="1:3">
      <c r="A3" t="s">
        <v>35</v>
      </c>
      <c r="B3">
        <v>52000</v>
      </c>
      <c r="C3" t="s">
        <v>36</v>
      </c>
    </row>
    <row r="4" spans="1:3">
      <c r="A4" s="10"/>
      <c r="B4">
        <v>65000</v>
      </c>
      <c r="C4" t="s">
        <v>39</v>
      </c>
    </row>
    <row r="5" spans="1:3">
      <c r="A5" t="s">
        <v>41</v>
      </c>
      <c r="B5" s="10"/>
      <c r="C5" t="s">
        <v>42</v>
      </c>
    </row>
    <row r="6" spans="1:3">
      <c r="A6" t="s">
        <v>44</v>
      </c>
      <c r="B6">
        <v>47000</v>
      </c>
      <c r="C6" s="10"/>
    </row>
    <row r="10" spans="1:3">
      <c r="A10" s="1" t="s">
        <v>76</v>
      </c>
      <c r="B10">
        <f>COUNT(B2:B6)</f>
        <v>4</v>
      </c>
    </row>
    <row r="12" spans="1:3">
      <c r="A12" s="1" t="s">
        <v>77</v>
      </c>
      <c r="B12">
        <f>COUNTA(A2:A6)</f>
        <v>4</v>
      </c>
    </row>
    <row r="14" spans="1:3">
      <c r="A14" s="1" t="s">
        <v>78</v>
      </c>
      <c r="B14">
        <f>COUNTBLANK(A2:A6)</f>
        <v>1</v>
      </c>
    </row>
    <row r="16" spans="1:3">
      <c r="A16" s="1" t="s">
        <v>79</v>
      </c>
      <c r="B16">
        <f>COUNTBLANK(B2:B6)</f>
        <v>1</v>
      </c>
    </row>
    <row r="18" spans="1:2">
      <c r="A18" s="1" t="s">
        <v>80</v>
      </c>
      <c r="B18">
        <f>COUNTBLANK(C2:C6)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8B6C9-B7F8-40EA-9779-A9976604615F}">
  <dimension ref="A1:L17"/>
  <sheetViews>
    <sheetView tabSelected="1" workbookViewId="0">
      <selection activeCell="L10" sqref="L10"/>
    </sheetView>
  </sheetViews>
  <sheetFormatPr defaultRowHeight="15"/>
  <cols>
    <col min="1" max="1" width="10" bestFit="1" customWidth="1"/>
    <col min="3" max="3" width="12.7109375" bestFit="1" customWidth="1"/>
  </cols>
  <sheetData>
    <row r="1" spans="1:12">
      <c r="A1" s="1" t="s">
        <v>62</v>
      </c>
      <c r="B1" s="1" t="s">
        <v>3</v>
      </c>
      <c r="C1" s="11" t="s">
        <v>81</v>
      </c>
      <c r="I1" s="1" t="s">
        <v>79</v>
      </c>
      <c r="J1" s="1" t="s">
        <v>62</v>
      </c>
      <c r="K1" s="1" t="s">
        <v>3</v>
      </c>
      <c r="L1" s="11" t="s">
        <v>81</v>
      </c>
    </row>
    <row r="2" spans="1:12">
      <c r="A2" t="s">
        <v>32</v>
      </c>
      <c r="B2">
        <v>65000</v>
      </c>
      <c r="C2" t="str">
        <f>IF(B2&gt;=50000,"Eligible","Not-Eligible")</f>
        <v>Eligible</v>
      </c>
      <c r="J2" t="s">
        <v>32</v>
      </c>
      <c r="K2">
        <v>65000</v>
      </c>
      <c r="L2" t="str">
        <f>IF(K2&gt;=50000,"Eligible","Not-Eligible")</f>
        <v>Eligible</v>
      </c>
    </row>
    <row r="3" spans="1:12">
      <c r="A3" t="s">
        <v>35</v>
      </c>
      <c r="B3">
        <v>42000</v>
      </c>
      <c r="C3" t="str">
        <f t="shared" ref="C3:C6" si="0">IF(B3&gt;=50000,"Eligible","Not-Eligible")</f>
        <v>Not-Eligible</v>
      </c>
      <c r="J3" t="s">
        <v>35</v>
      </c>
      <c r="K3">
        <v>42000</v>
      </c>
      <c r="L3" t="str">
        <f t="shared" ref="L3:L6" si="1">IF(K3&gt;=50000,"Eligible","Not-Eligible")</f>
        <v>Not-Eligible</v>
      </c>
    </row>
    <row r="4" spans="1:12">
      <c r="A4" t="s">
        <v>38</v>
      </c>
      <c r="B4">
        <v>80000</v>
      </c>
      <c r="C4" t="str">
        <f t="shared" si="0"/>
        <v>Eligible</v>
      </c>
      <c r="J4" t="s">
        <v>38</v>
      </c>
      <c r="K4">
        <v>80000</v>
      </c>
      <c r="L4" t="str">
        <f t="shared" si="1"/>
        <v>Eligible</v>
      </c>
    </row>
    <row r="5" spans="1:12">
      <c r="A5" t="s">
        <v>41</v>
      </c>
      <c r="B5">
        <v>47000</v>
      </c>
      <c r="C5" t="str">
        <f t="shared" si="0"/>
        <v>Not-Eligible</v>
      </c>
      <c r="J5" t="s">
        <v>41</v>
      </c>
      <c r="K5">
        <v>50000</v>
      </c>
      <c r="L5" t="str">
        <f t="shared" si="1"/>
        <v>Eligible</v>
      </c>
    </row>
    <row r="6" spans="1:12">
      <c r="A6" t="s">
        <v>44</v>
      </c>
      <c r="B6">
        <v>90000</v>
      </c>
      <c r="C6" t="str">
        <f t="shared" si="0"/>
        <v>Eligible</v>
      </c>
      <c r="J6" t="s">
        <v>44</v>
      </c>
      <c r="K6">
        <v>90000</v>
      </c>
      <c r="L6" t="str">
        <f t="shared" si="1"/>
        <v>Eligible</v>
      </c>
    </row>
    <row r="9" spans="1:12">
      <c r="I9" s="1" t="s">
        <v>80</v>
      </c>
      <c r="J9" s="1" t="s">
        <v>62</v>
      </c>
      <c r="K9" s="1" t="s">
        <v>3</v>
      </c>
      <c r="L9" s="11" t="s">
        <v>81</v>
      </c>
    </row>
    <row r="10" spans="1:12">
      <c r="J10" t="s">
        <v>32</v>
      </c>
      <c r="K10">
        <v>65000</v>
      </c>
      <c r="L10" t="str">
        <f>IF(K10&gt;50000,"Eligible","Not-Eligible")</f>
        <v>Eligible</v>
      </c>
    </row>
    <row r="11" spans="1:12">
      <c r="A11" s="1" t="s">
        <v>78</v>
      </c>
      <c r="J11" t="s">
        <v>35</v>
      </c>
      <c r="K11">
        <v>42000</v>
      </c>
      <c r="L11" t="str">
        <f t="shared" ref="L11:L14" si="2">IF(K11&gt;50000,"Eligible","Not-Eligible")</f>
        <v>Not-Eligible</v>
      </c>
    </row>
    <row r="12" spans="1:12">
      <c r="A12" s="1" t="s">
        <v>62</v>
      </c>
      <c r="B12" s="1" t="s">
        <v>3</v>
      </c>
      <c r="C12" s="11" t="s">
        <v>81</v>
      </c>
      <c r="J12" t="s">
        <v>38</v>
      </c>
      <c r="K12">
        <v>80000</v>
      </c>
      <c r="L12" t="str">
        <f t="shared" si="2"/>
        <v>Eligible</v>
      </c>
    </row>
    <row r="13" spans="1:12">
      <c r="A13" t="s">
        <v>32</v>
      </c>
      <c r="B13">
        <v>45000</v>
      </c>
      <c r="C13" t="str">
        <f>IF(B13&gt;=50000,"Eligible","Not-Eligible")</f>
        <v>Not-Eligible</v>
      </c>
      <c r="J13" t="s">
        <v>41</v>
      </c>
      <c r="K13">
        <v>47000</v>
      </c>
      <c r="L13" t="str">
        <f t="shared" si="2"/>
        <v>Not-Eligible</v>
      </c>
    </row>
    <row r="14" spans="1:12">
      <c r="A14" t="s">
        <v>35</v>
      </c>
      <c r="B14">
        <v>42000</v>
      </c>
      <c r="C14" t="str">
        <f t="shared" ref="C14:C17" si="3">IF(B14&gt;=50000,"Eligible","Not-Eligible")</f>
        <v>Not-Eligible</v>
      </c>
      <c r="J14" t="s">
        <v>44</v>
      </c>
      <c r="K14">
        <v>90000</v>
      </c>
      <c r="L14" t="str">
        <f t="shared" si="2"/>
        <v>Eligible</v>
      </c>
    </row>
    <row r="15" spans="1:12">
      <c r="A15" t="s">
        <v>38</v>
      </c>
      <c r="B15">
        <v>80000</v>
      </c>
      <c r="C15" t="str">
        <f t="shared" si="3"/>
        <v>Eligible</v>
      </c>
    </row>
    <row r="16" spans="1:12">
      <c r="A16" t="s">
        <v>41</v>
      </c>
      <c r="B16">
        <v>47000</v>
      </c>
      <c r="C16" t="str">
        <f t="shared" si="3"/>
        <v>Not-Eligible</v>
      </c>
    </row>
    <row r="17" spans="1:3">
      <c r="A17" t="s">
        <v>44</v>
      </c>
      <c r="B17">
        <v>90000</v>
      </c>
      <c r="C17" t="str">
        <f t="shared" si="3"/>
        <v>Eligible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2026-07-22T03:05:39Z</dcterms:created>
  <dcterms:modified xsi:type="dcterms:W3CDTF">2026-07-23T02:52:33Z</dcterms:modified>
  <cp:category/>
  <cp:contentStatus/>
</cp:coreProperties>
</file>